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ОФТ\ОТЧЁТЫ\КОЛЛЕКЦИИ\ОЗ 2025-26\Распределение нового ассортимента\Парини\"/>
    </mc:Choice>
  </mc:AlternateContent>
  <xr:revisionPtr revIDLastSave="0" documentId="13_ncr:1_{A0D353E6-3E14-49F1-89B9-73275AE0EE22}" xr6:coauthVersionLast="36" xr6:coauthVersionMax="36" xr10:uidLastSave="{00000000-0000-0000-0000-000000000000}"/>
  <bookViews>
    <workbookView xWindow="0" yWindow="0" windowWidth="23040" windowHeight="9060" xr2:uid="{4EF36BFE-35DE-454D-8815-4BF09C70ADBC}"/>
  </bookViews>
  <sheets>
    <sheet name="Лист1" sheetId="1" r:id="rId1"/>
  </sheets>
  <calcPr calcId="181029" concurrentManualCount="6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3" i="1"/>
  <c r="H2" i="1"/>
  <c r="G5" i="1"/>
  <c r="F5" i="1"/>
  <c r="E5" i="1"/>
  <c r="D5" i="1"/>
  <c r="C5" i="1"/>
  <c r="H5" i="1" s="1"/>
  <c r="B5" i="1"/>
  <c r="H39" i="1"/>
  <c r="H58" i="1"/>
  <c r="H57" i="1"/>
  <c r="H56" i="1"/>
  <c r="H52" i="1"/>
  <c r="H51" i="1"/>
  <c r="H46" i="1"/>
  <c r="H45" i="1"/>
  <c r="H40" i="1"/>
  <c r="H34" i="1"/>
  <c r="H33" i="1"/>
  <c r="H32" i="1"/>
  <c r="H28" i="1"/>
  <c r="H27" i="1"/>
  <c r="G59" i="1"/>
  <c r="F59" i="1"/>
  <c r="E59" i="1"/>
  <c r="D59" i="1"/>
  <c r="C59" i="1"/>
  <c r="B59" i="1"/>
  <c r="H59" i="1" s="1"/>
  <c r="G53" i="1"/>
  <c r="D53" i="1"/>
  <c r="C53" i="1"/>
  <c r="G47" i="1"/>
  <c r="D47" i="1"/>
  <c r="B47" i="1"/>
  <c r="G41" i="1"/>
  <c r="E41" i="1"/>
  <c r="C41" i="1"/>
  <c r="G35" i="1"/>
  <c r="F35" i="1"/>
  <c r="E35" i="1"/>
  <c r="D35" i="1"/>
  <c r="C35" i="1"/>
  <c r="B35" i="1"/>
  <c r="H35" i="1" s="1"/>
  <c r="G29" i="1"/>
  <c r="D29" i="1"/>
  <c r="C29" i="1"/>
  <c r="B29" i="1"/>
  <c r="H22" i="1"/>
  <c r="H21" i="1"/>
  <c r="H20" i="1"/>
  <c r="H16" i="1"/>
  <c r="H15" i="1"/>
  <c r="G23" i="1"/>
  <c r="F23" i="1"/>
  <c r="E23" i="1"/>
  <c r="D23" i="1"/>
  <c r="C23" i="1"/>
  <c r="H23" i="1" s="1"/>
  <c r="B23" i="1"/>
  <c r="G17" i="1"/>
  <c r="F17" i="1"/>
  <c r="E17" i="1"/>
  <c r="D17" i="1"/>
  <c r="C17" i="1"/>
  <c r="G11" i="1"/>
  <c r="F11" i="1"/>
  <c r="E11" i="1"/>
  <c r="D11" i="1"/>
  <c r="C11" i="1"/>
  <c r="B11" i="1"/>
  <c r="H9" i="1"/>
  <c r="H10" i="1"/>
  <c r="H8" i="1"/>
  <c r="B50" i="1"/>
  <c r="H50" i="1" s="1"/>
  <c r="F50" i="1"/>
  <c r="F53" i="1" s="1"/>
  <c r="B38" i="1"/>
  <c r="H38" i="1" s="1"/>
  <c r="B44" i="1"/>
  <c r="H44" i="1" s="1"/>
  <c r="C50" i="1"/>
  <c r="F44" i="1"/>
  <c r="F47" i="1" s="1"/>
  <c r="F38" i="1"/>
  <c r="F41" i="1" s="1"/>
  <c r="C44" i="1"/>
  <c r="C47" i="1" s="1"/>
  <c r="E50" i="1"/>
  <c r="E53" i="1" s="1"/>
  <c r="D50" i="1"/>
  <c r="E44" i="1"/>
  <c r="E47" i="1" s="1"/>
  <c r="E26" i="1"/>
  <c r="E29" i="1" s="1"/>
  <c r="D38" i="1"/>
  <c r="D41" i="1" s="1"/>
  <c r="B14" i="1"/>
  <c r="H14" i="1" s="1"/>
  <c r="B17" i="1"/>
  <c r="H17" i="1" s="1"/>
  <c r="F26" i="1"/>
  <c r="F29" i="1" s="1"/>
  <c r="H11" i="1"/>
  <c r="H62" i="1" l="1"/>
  <c r="H29" i="1"/>
  <c r="H47" i="1"/>
  <c r="B41" i="1"/>
  <c r="H41" i="1" s="1"/>
  <c r="B53" i="1"/>
  <c r="H53" i="1" s="1"/>
  <c r="H26" i="1"/>
  <c r="H63" i="1"/>
  <c r="H64" i="1" l="1"/>
</calcChain>
</file>

<file path=xl/sharedStrings.xml><?xml version="1.0" encoding="utf-8"?>
<sst xmlns="http://schemas.openxmlformats.org/spreadsheetml/2006/main" count="265" uniqueCount="9">
  <si>
    <t>россыпь</t>
  </si>
  <si>
    <t>короба</t>
  </si>
  <si>
    <t>итого</t>
  </si>
  <si>
    <t>кол-во коробов</t>
  </si>
  <si>
    <t>А9</t>
  </si>
  <si>
    <t>А8</t>
  </si>
  <si>
    <t>В2</t>
  </si>
  <si>
    <t>В1</t>
  </si>
  <si>
    <t>размеры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</si>
</sst>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804]#\ ##0.00"/>
  </numFmts>
  <fonts count="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3" fillId="0" borderId="0">
      <alignment horizontal="center" vertical="center"/>
    </xf>
    <xf numFmtId="164" fontId="4" fillId="0" borderId="0">
      <alignment vertical="center"/>
    </xf>
    <xf numFmtId="0" fontId="1" fillId="0" borderId="0"/>
  </cellStyleXfs>
  <cellXfs count="16">
    <xf numFmtId="0" fontId="0" fillId="0" borderId="0" xfId="0"/>
    <xf numFmtId="0" fontId="0" fillId="0" borderId="0" xfId="0" applyBorder="1"/>
    <xf numFmtId="0" fontId="0" fillId="0" borderId="0" xfId="0" applyAlignment="1">
      <alignment horizontal="right" vertical="top"/>
    </xf>
    <xf numFmtId="0" fontId="0" fillId="3" borderId="1" xfId="0" applyFill="1" applyBorder="1"/>
    <xf numFmtId="0" fontId="0" fillId="0" borderId="0" xfId="0" applyBorder="1" applyAlignment="1">
      <alignment horizontal="right" vertical="top"/>
    </xf>
    <xf numFmtId="0" fontId="0" fillId="0" borderId="0" xfId="0" applyFill="1" applyBorder="1" applyAlignment="1">
      <alignment horizontal="right" vertical="top"/>
    </xf>
    <xf numFmtId="0" fontId="2" fillId="3" borderId="1" xfId="0" applyFont="1" applyFill="1" applyBorder="1"/>
    <xf numFmtId="0" fontId="0" fillId="2" borderId="0" xfId="0" applyFill="1"/>
    <xf numFmtId="3" fontId="0" fillId="2" borderId="0" xfId="0" applyNumberFormat="1" applyFill="1"/>
    <xf numFmtId="0" fontId="0" fillId="4" borderId="0" xfId="0" applyFill="1" applyAlignment="1">
      <alignment horizontal="right" vertical="top" wrapText="1"/>
    </xf>
    <xf numFmtId="0" fontId="0" fillId="3" borderId="3" xfId="0" applyFill="1" applyBorder="1"/>
    <xf numFmtId="0" fontId="0" fillId="3" borderId="2" xfId="0" applyFill="1" applyBorder="1"/>
    <xf numFmtId="0" fontId="0" fillId="0" borderId="3" xfId="0" applyFill="1" applyBorder="1"/>
    <xf numFmtId="0" fontId="0" fillId="0" borderId="3" xfId="0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2" borderId="3" xfId="0" applyFill="1" applyBorder="1"/>
  </cellXfs>
  <cellStyles count="4">
    <cellStyle name="Обычный" xfId="0" builtinId="0"/>
    <cellStyle name="Обычный 10" xfId="3" xr:uid="{F290758B-C0EA-415B-8178-ADA613A2A469}"/>
    <cellStyle name="常规 8" xfId="2" xr:uid="{316CA83B-3CD7-4B95-A521-CCD90F5CA1AA}"/>
    <cellStyle name="常规_工作表1_18" xfId="1" xr:uid="{CA9053A6-AFDC-4309-8A64-3EE6595C47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EEA9-8AF8-42BF-BBA8-82875BA6A3DF}">
  <dimension ref="A1:M64"/>
  <sheetViews>
    <sheetView tabSelected="1" workbookViewId="0">
      <selection activeCell="A56" sqref="A56"/>
    </sheetView>
  </sheetViews>
  <sheetFormatPr defaultRowHeight="14.4"/>
  <cols>
    <col min="1" max="1" width="10.109375" customWidth="1"/>
    <col min="2" max="2" width="7.44140625" customWidth="1"/>
    <col min="9" max="9" width="11.6640625" customWidth="1"/>
  </cols>
  <sheetData>
    <row r="1" spans="1:13" ht="28.8">
      <c r="A1" s="10" t="s">
        <v>8</v>
      </c>
      <c r="B1" s="10">
        <v>41</v>
      </c>
      <c r="C1" s="10">
        <v>40</v>
      </c>
      <c r="D1" s="10">
        <v>39</v>
      </c>
      <c r="E1" s="10">
        <v>38</v>
      </c>
      <c r="F1" s="10">
        <v>37</v>
      </c>
      <c r="G1" s="11">
        <v>36</v>
      </c>
      <c r="H1" s="3"/>
      <c r="I1" s="9" t="s">
        <v>3</v>
      </c>
      <c r="J1" s="2"/>
      <c r="K1" s="2"/>
      <c r="L1" s="2"/>
      <c r="M1" s="2"/>
    </row>
    <row r="2" spans="1:13">
      <c r="A2" s="15">
        <v>8634130</v>
      </c>
      <c r="B2" s="13">
        <v>59</v>
      </c>
      <c r="C2" s="13">
        <v>150</v>
      </c>
      <c r="D2" s="13">
        <v>160</v>
      </c>
      <c r="E2" s="13">
        <v>140</v>
      </c>
      <c r="F2" s="13">
        <v>80</v>
      </c>
      <c r="G2" s="14">
        <v>10</v>
      </c>
      <c r="H2" s="6">
        <f>SUM(B2:G2)</f>
        <v>599</v>
      </c>
      <c r="I2" s="2"/>
      <c r="J2" s="2"/>
      <c r="K2" s="2"/>
      <c r="L2" s="2"/>
      <c r="M2" s="2"/>
    </row>
    <row r="3" spans="1:13">
      <c r="A3" s="12" t="s">
        <v>4</v>
      </c>
      <c r="B3" s="13"/>
      <c r="C3" s="13">
        <v>10</v>
      </c>
      <c r="D3" s="13">
        <v>10</v>
      </c>
      <c r="E3" s="13">
        <v>10</v>
      </c>
      <c r="F3" s="13">
        <v>10</v>
      </c>
      <c r="G3" s="14">
        <v>10</v>
      </c>
      <c r="H3" s="3">
        <f t="shared" ref="H3:H5" si="0">SUM(B3:G3)</f>
        <v>50</v>
      </c>
      <c r="I3" s="2">
        <v>10</v>
      </c>
      <c r="J3" s="2"/>
      <c r="K3" s="2"/>
      <c r="L3" s="2"/>
      <c r="M3" s="2"/>
    </row>
    <row r="4" spans="1:13">
      <c r="A4" s="12" t="s">
        <v>5</v>
      </c>
      <c r="B4" s="13">
        <v>59</v>
      </c>
      <c r="C4" s="13">
        <v>59</v>
      </c>
      <c r="D4" s="13">
        <v>59</v>
      </c>
      <c r="E4" s="13">
        <v>59</v>
      </c>
      <c r="F4" s="13">
        <v>59</v>
      </c>
      <c r="G4" s="14"/>
      <c r="H4" s="3">
        <f t="shared" si="0"/>
        <v>295</v>
      </c>
      <c r="I4" s="2">
        <v>59</v>
      </c>
      <c r="J4" s="2"/>
      <c r="K4" s="2"/>
      <c r="L4" s="2"/>
      <c r="M4" s="2"/>
    </row>
    <row r="5" spans="1:13">
      <c r="A5" s="12" t="s">
        <v>0</v>
      </c>
      <c r="B5" s="13">
        <f>B2-B3-B4</f>
        <v>0</v>
      </c>
      <c r="C5" s="13">
        <f t="shared" ref="C5" si="1">C2-C3-C4</f>
        <v>81</v>
      </c>
      <c r="D5" s="13">
        <f t="shared" ref="D5" si="2">D2-D3-D4</f>
        <v>91</v>
      </c>
      <c r="E5" s="13">
        <f t="shared" ref="E5" si="3">E2-E3-E4</f>
        <v>71</v>
      </c>
      <c r="F5" s="13">
        <f t="shared" ref="F5" si="4">F2-F3-F4</f>
        <v>11</v>
      </c>
      <c r="G5" s="14">
        <f t="shared" ref="G5" si="5">G2-G3-G4</f>
        <v>0</v>
      </c>
      <c r="H5" s="3">
        <f t="shared" si="0"/>
        <v>254</v>
      </c>
      <c r="I5" s="2"/>
      <c r="J5" s="2"/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28.8">
      <c r="A7" s="10" t="s">
        <v>8</v>
      </c>
      <c r="B7" s="10">
        <v>45</v>
      </c>
      <c r="C7" s="10">
        <v>44</v>
      </c>
      <c r="D7" s="10">
        <v>43</v>
      </c>
      <c r="E7" s="10">
        <v>42</v>
      </c>
      <c r="F7" s="10">
        <v>41</v>
      </c>
      <c r="G7" s="11">
        <v>40</v>
      </c>
      <c r="H7" s="3"/>
      <c r="I7" s="9" t="s">
        <v>3</v>
      </c>
      <c r="J7" s="2"/>
      <c r="K7" s="2"/>
      <c r="L7" s="2"/>
      <c r="M7" s="2"/>
    </row>
    <row r="8" spans="1:13">
      <c r="A8" s="15">
        <v>8614012</v>
      </c>
      <c r="B8" s="13">
        <v>20</v>
      </c>
      <c r="C8" s="13">
        <v>35</v>
      </c>
      <c r="D8" s="13">
        <v>54</v>
      </c>
      <c r="E8" s="13">
        <v>55</v>
      </c>
      <c r="F8" s="13">
        <v>25</v>
      </c>
      <c r="G8" s="14">
        <v>10</v>
      </c>
      <c r="H8" s="6">
        <f>SUM(B8:G8)</f>
        <v>199</v>
      </c>
      <c r="I8" s="1"/>
    </row>
    <row r="9" spans="1:13">
      <c r="A9" s="12" t="s">
        <v>6</v>
      </c>
      <c r="B9" s="13"/>
      <c r="C9" s="13">
        <v>10</v>
      </c>
      <c r="D9" s="13">
        <v>10</v>
      </c>
      <c r="E9" s="13">
        <v>10</v>
      </c>
      <c r="F9" s="13">
        <v>10</v>
      </c>
      <c r="G9" s="14">
        <v>10</v>
      </c>
      <c r="H9" s="3">
        <f t="shared" ref="H9:H23" si="6">SUM(B9:G9)</f>
        <v>50</v>
      </c>
      <c r="I9" s="4">
        <v>10</v>
      </c>
    </row>
    <row r="10" spans="1:13">
      <c r="A10" s="12" t="s">
        <v>7</v>
      </c>
      <c r="B10" s="13">
        <v>15</v>
      </c>
      <c r="C10" s="13">
        <v>15</v>
      </c>
      <c r="D10" s="13">
        <v>15</v>
      </c>
      <c r="E10" s="13">
        <v>15</v>
      </c>
      <c r="F10" s="13">
        <v>15</v>
      </c>
      <c r="G10" s="14"/>
      <c r="H10" s="3">
        <f t="shared" si="6"/>
        <v>75</v>
      </c>
      <c r="I10" s="5">
        <v>15</v>
      </c>
    </row>
    <row r="11" spans="1:13">
      <c r="A11" s="12" t="s">
        <v>0</v>
      </c>
      <c r="B11" s="13">
        <f>B8-B9-B10</f>
        <v>5</v>
      </c>
      <c r="C11" s="13">
        <f t="shared" ref="C11" si="7">C8-C9-C10</f>
        <v>10</v>
      </c>
      <c r="D11" s="13">
        <f t="shared" ref="D11" si="8">D8-D9-D10</f>
        <v>29</v>
      </c>
      <c r="E11" s="13">
        <f t="shared" ref="E11" si="9">E8-E9-E10</f>
        <v>30</v>
      </c>
      <c r="F11" s="13">
        <f t="shared" ref="F11" si="10">F8-F9-F10</f>
        <v>0</v>
      </c>
      <c r="G11" s="14">
        <f t="shared" ref="G11" si="11">G8-G9-G10</f>
        <v>0</v>
      </c>
      <c r="H11" s="3">
        <f t="shared" si="6"/>
        <v>74</v>
      </c>
      <c r="I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</row>
    <row r="13" spans="1:13" ht="28.8">
      <c r="A13" s="10" t="s">
        <v>8</v>
      </c>
      <c r="B13" s="10">
        <v>45</v>
      </c>
      <c r="C13" s="10">
        <v>44</v>
      </c>
      <c r="D13" s="10">
        <v>43</v>
      </c>
      <c r="E13" s="10">
        <v>42</v>
      </c>
      <c r="F13" s="10">
        <v>41</v>
      </c>
      <c r="G13" s="11">
        <v>40</v>
      </c>
      <c r="H13" s="3"/>
      <c r="I13" s="9" t="s">
        <v>3</v>
      </c>
      <c r="J13" s="2"/>
      <c r="K13" s="2"/>
      <c r="L13" s="2"/>
      <c r="M13" s="2"/>
    </row>
    <row r="14" spans="1:13">
      <c r="A14" s="15">
        <v>8614008</v>
      </c>
      <c r="B14" s="13">
        <f>19+1</f>
        <v>20</v>
      </c>
      <c r="C14" s="13">
        <v>35</v>
      </c>
      <c r="D14" s="13">
        <v>54</v>
      </c>
      <c r="E14" s="13">
        <v>55</v>
      </c>
      <c r="F14" s="13">
        <v>25</v>
      </c>
      <c r="G14" s="14">
        <v>10</v>
      </c>
      <c r="H14" s="6">
        <f>SUM(B14:G14)</f>
        <v>199</v>
      </c>
      <c r="I14" s="1"/>
    </row>
    <row r="15" spans="1:13">
      <c r="A15" s="12" t="s">
        <v>6</v>
      </c>
      <c r="B15" s="13"/>
      <c r="C15" s="13">
        <v>10</v>
      </c>
      <c r="D15" s="13">
        <v>10</v>
      </c>
      <c r="E15" s="13">
        <v>10</v>
      </c>
      <c r="F15" s="13">
        <v>10</v>
      </c>
      <c r="G15" s="14">
        <v>10</v>
      </c>
      <c r="H15" s="3">
        <f t="shared" si="6"/>
        <v>50</v>
      </c>
      <c r="I15" s="4">
        <v>10</v>
      </c>
    </row>
    <row r="16" spans="1:13">
      <c r="A16" s="12" t="s">
        <v>7</v>
      </c>
      <c r="B16" s="13">
        <v>15</v>
      </c>
      <c r="C16" s="13">
        <v>15</v>
      </c>
      <c r="D16" s="13">
        <v>15</v>
      </c>
      <c r="E16" s="13">
        <v>15</v>
      </c>
      <c r="F16" s="13">
        <v>15</v>
      </c>
      <c r="G16" s="14"/>
      <c r="H16" s="3">
        <f t="shared" si="6"/>
        <v>75</v>
      </c>
      <c r="I16" s="5">
        <v>15</v>
      </c>
    </row>
    <row r="17" spans="1:13">
      <c r="A17" s="12" t="s">
        <v>0</v>
      </c>
      <c r="B17" s="13">
        <f>B14-B15-B16</f>
        <v>5</v>
      </c>
      <c r="C17" s="13">
        <f t="shared" ref="C17" si="12">C14-C15-C16</f>
        <v>10</v>
      </c>
      <c r="D17" s="13">
        <f t="shared" ref="D17" si="13">D14-D15-D16</f>
        <v>29</v>
      </c>
      <c r="E17" s="13">
        <f t="shared" ref="E17" si="14">E14-E15-E16</f>
        <v>30</v>
      </c>
      <c r="F17" s="13">
        <f t="shared" ref="F17" si="15">F14-F15-F16</f>
        <v>0</v>
      </c>
      <c r="G17" s="14">
        <f t="shared" ref="G17" si="16">G14-G15-G16</f>
        <v>0</v>
      </c>
      <c r="H17" s="3">
        <f t="shared" si="6"/>
        <v>74</v>
      </c>
      <c r="I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</row>
    <row r="19" spans="1:13" ht="28.8">
      <c r="A19" s="10" t="s">
        <v>8</v>
      </c>
      <c r="B19" s="10">
        <v>45</v>
      </c>
      <c r="C19" s="10">
        <v>44</v>
      </c>
      <c r="D19" s="10">
        <v>43</v>
      </c>
      <c r="E19" s="10">
        <v>42</v>
      </c>
      <c r="F19" s="10">
        <v>41</v>
      </c>
      <c r="G19" s="11">
        <v>40</v>
      </c>
      <c r="H19" s="3"/>
      <c r="I19" s="9" t="s">
        <v>3</v>
      </c>
      <c r="J19" s="2"/>
      <c r="K19" s="2"/>
      <c r="L19" s="2"/>
      <c r="M19" s="2"/>
    </row>
    <row r="20" spans="1:13">
      <c r="A20" s="15">
        <v>8614005</v>
      </c>
      <c r="B20" s="13">
        <v>50</v>
      </c>
      <c r="C20" s="13">
        <v>70</v>
      </c>
      <c r="D20" s="13">
        <v>104</v>
      </c>
      <c r="E20" s="13">
        <v>105</v>
      </c>
      <c r="F20" s="13">
        <v>55</v>
      </c>
      <c r="G20" s="14">
        <v>15</v>
      </c>
      <c r="H20" s="6">
        <f>SUM(B20:G20)</f>
        <v>399</v>
      </c>
      <c r="I20" s="1"/>
    </row>
    <row r="21" spans="1:13">
      <c r="A21" s="12" t="s">
        <v>6</v>
      </c>
      <c r="B21" s="13"/>
      <c r="C21" s="13">
        <v>15</v>
      </c>
      <c r="D21" s="13">
        <v>15</v>
      </c>
      <c r="E21" s="13">
        <v>15</v>
      </c>
      <c r="F21" s="13">
        <v>15</v>
      </c>
      <c r="G21" s="14">
        <v>15</v>
      </c>
      <c r="H21" s="3">
        <f t="shared" si="6"/>
        <v>75</v>
      </c>
      <c r="I21" s="4">
        <v>15</v>
      </c>
    </row>
    <row r="22" spans="1:13">
      <c r="A22" s="12" t="s">
        <v>7</v>
      </c>
      <c r="B22" s="13">
        <v>40</v>
      </c>
      <c r="C22" s="13">
        <v>40</v>
      </c>
      <c r="D22" s="13">
        <v>40</v>
      </c>
      <c r="E22" s="13">
        <v>40</v>
      </c>
      <c r="F22" s="13">
        <v>40</v>
      </c>
      <c r="G22" s="14"/>
      <c r="H22" s="3">
        <f t="shared" si="6"/>
        <v>200</v>
      </c>
      <c r="I22" s="5">
        <v>40</v>
      </c>
    </row>
    <row r="23" spans="1:13">
      <c r="A23" s="12" t="s">
        <v>0</v>
      </c>
      <c r="B23" s="13">
        <f>B20-B21-B22</f>
        <v>10</v>
      </c>
      <c r="C23" s="13">
        <f t="shared" ref="C23" si="17">C20-C21-C22</f>
        <v>15</v>
      </c>
      <c r="D23" s="13">
        <f t="shared" ref="D23" si="18">D20-D21-D22</f>
        <v>49</v>
      </c>
      <c r="E23" s="13">
        <f t="shared" ref="E23" si="19">E20-E21-E22</f>
        <v>50</v>
      </c>
      <c r="F23" s="13">
        <f t="shared" ref="F23" si="20">F20-F21-F22</f>
        <v>0</v>
      </c>
      <c r="G23" s="14">
        <f t="shared" ref="G23" si="21">G20-G21-G22</f>
        <v>0</v>
      </c>
      <c r="H23" s="3">
        <f t="shared" si="6"/>
        <v>124</v>
      </c>
      <c r="I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</row>
    <row r="25" spans="1:13" ht="28.8">
      <c r="A25" s="10" t="s">
        <v>8</v>
      </c>
      <c r="B25" s="10">
        <v>45</v>
      </c>
      <c r="C25" s="10">
        <v>44</v>
      </c>
      <c r="D25" s="10">
        <v>43</v>
      </c>
      <c r="E25" s="10">
        <v>42</v>
      </c>
      <c r="F25" s="10">
        <v>41</v>
      </c>
      <c r="G25" s="11">
        <v>40</v>
      </c>
      <c r="H25" s="3"/>
      <c r="I25" s="9" t="s">
        <v>3</v>
      </c>
      <c r="J25" s="2"/>
      <c r="K25" s="2"/>
      <c r="L25" s="2"/>
      <c r="M25" s="2"/>
    </row>
    <row r="26" spans="1:13">
      <c r="A26" s="15">
        <v>8614000</v>
      </c>
      <c r="B26" s="13">
        <v>50</v>
      </c>
      <c r="C26" s="13">
        <v>70</v>
      </c>
      <c r="D26" s="13">
        <v>104</v>
      </c>
      <c r="E26" s="13">
        <f>105</f>
        <v>105</v>
      </c>
      <c r="F26" s="13">
        <f>54+1</f>
        <v>55</v>
      </c>
      <c r="G26" s="14">
        <v>15</v>
      </c>
      <c r="H26" s="6">
        <f>SUM(B26:G26)</f>
        <v>399</v>
      </c>
      <c r="I26" s="1"/>
    </row>
    <row r="27" spans="1:13">
      <c r="A27" s="12" t="s">
        <v>6</v>
      </c>
      <c r="B27" s="13"/>
      <c r="C27" s="13">
        <v>15</v>
      </c>
      <c r="D27" s="13">
        <v>15</v>
      </c>
      <c r="E27" s="13">
        <v>15</v>
      </c>
      <c r="F27" s="13">
        <v>15</v>
      </c>
      <c r="G27" s="14">
        <v>15</v>
      </c>
      <c r="H27" s="3">
        <f t="shared" ref="H27:H29" si="22">SUM(B27:G27)</f>
        <v>75</v>
      </c>
      <c r="I27" s="4">
        <v>15</v>
      </c>
    </row>
    <row r="28" spans="1:13">
      <c r="A28" s="12" t="s">
        <v>7</v>
      </c>
      <c r="B28" s="13">
        <v>40</v>
      </c>
      <c r="C28" s="13">
        <v>40</v>
      </c>
      <c r="D28" s="13">
        <v>40</v>
      </c>
      <c r="E28" s="13">
        <v>40</v>
      </c>
      <c r="F28" s="13">
        <v>40</v>
      </c>
      <c r="G28" s="14"/>
      <c r="H28" s="3">
        <f t="shared" si="22"/>
        <v>200</v>
      </c>
      <c r="I28" s="5">
        <v>40</v>
      </c>
    </row>
    <row r="29" spans="1:13">
      <c r="A29" s="12" t="s">
        <v>0</v>
      </c>
      <c r="B29" s="13">
        <f>B26-B27-B28</f>
        <v>10</v>
      </c>
      <c r="C29" s="13">
        <f t="shared" ref="C29" si="23">C26-C27-C28</f>
        <v>15</v>
      </c>
      <c r="D29" s="13">
        <f t="shared" ref="D29" si="24">D26-D27-D28</f>
        <v>49</v>
      </c>
      <c r="E29" s="13">
        <f t="shared" ref="E29" si="25">E26-E27-E28</f>
        <v>50</v>
      </c>
      <c r="F29" s="13">
        <f t="shared" ref="F29" si="26">F26-F27-F28</f>
        <v>0</v>
      </c>
      <c r="G29" s="14">
        <f t="shared" ref="G29" si="27">G26-G27-G28</f>
        <v>0</v>
      </c>
      <c r="H29" s="3">
        <f t="shared" si="22"/>
        <v>124</v>
      </c>
      <c r="I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</row>
    <row r="31" spans="1:13" ht="28.8">
      <c r="A31" s="10" t="s">
        <v>8</v>
      </c>
      <c r="B31" s="10">
        <v>45</v>
      </c>
      <c r="C31" s="10">
        <v>44</v>
      </c>
      <c r="D31" s="10">
        <v>43</v>
      </c>
      <c r="E31" s="10">
        <v>42</v>
      </c>
      <c r="F31" s="10">
        <v>41</v>
      </c>
      <c r="G31" s="11">
        <v>40</v>
      </c>
      <c r="H31" s="3"/>
      <c r="I31" s="9" t="s">
        <v>3</v>
      </c>
      <c r="J31" s="2"/>
      <c r="K31" s="2"/>
      <c r="L31" s="2"/>
      <c r="M31" s="2"/>
    </row>
    <row r="32" spans="1:13">
      <c r="A32" s="15">
        <v>8614135</v>
      </c>
      <c r="B32" s="13">
        <v>70</v>
      </c>
      <c r="C32" s="13">
        <v>99</v>
      </c>
      <c r="D32" s="13">
        <v>168</v>
      </c>
      <c r="E32" s="13">
        <v>159</v>
      </c>
      <c r="F32" s="13">
        <v>84</v>
      </c>
      <c r="G32" s="14">
        <v>14</v>
      </c>
      <c r="H32" s="6">
        <f>SUM(B32:G32)</f>
        <v>594</v>
      </c>
      <c r="I32" s="1"/>
    </row>
    <row r="33" spans="1:13">
      <c r="A33" s="12" t="s">
        <v>6</v>
      </c>
      <c r="B33" s="13"/>
      <c r="C33" s="13">
        <v>14</v>
      </c>
      <c r="D33" s="13">
        <v>14</v>
      </c>
      <c r="E33" s="13">
        <v>14</v>
      </c>
      <c r="F33" s="13">
        <v>14</v>
      </c>
      <c r="G33" s="14">
        <v>14</v>
      </c>
      <c r="H33" s="3">
        <f t="shared" ref="H33:H35" si="28">SUM(B33:G33)</f>
        <v>70</v>
      </c>
      <c r="I33" s="4">
        <v>14</v>
      </c>
    </row>
    <row r="34" spans="1:13">
      <c r="A34" s="12" t="s">
        <v>7</v>
      </c>
      <c r="B34" s="13">
        <v>70</v>
      </c>
      <c r="C34" s="13">
        <v>70</v>
      </c>
      <c r="D34" s="13">
        <v>70</v>
      </c>
      <c r="E34" s="13">
        <v>70</v>
      </c>
      <c r="F34" s="13">
        <v>70</v>
      </c>
      <c r="G34" s="14"/>
      <c r="H34" s="3">
        <f t="shared" si="28"/>
        <v>350</v>
      </c>
      <c r="I34" s="5">
        <v>70</v>
      </c>
    </row>
    <row r="35" spans="1:13">
      <c r="A35" s="12" t="s">
        <v>0</v>
      </c>
      <c r="B35" s="13">
        <f>B32-B33-B34</f>
        <v>0</v>
      </c>
      <c r="C35" s="13">
        <f t="shared" ref="C35" si="29">C32-C33-C34</f>
        <v>15</v>
      </c>
      <c r="D35" s="13">
        <f t="shared" ref="D35" si="30">D32-D33-D34</f>
        <v>84</v>
      </c>
      <c r="E35" s="13">
        <f t="shared" ref="E35" si="31">E32-E33-E34</f>
        <v>75</v>
      </c>
      <c r="F35" s="13">
        <f t="shared" ref="F35" si="32">F32-F33-F34</f>
        <v>0</v>
      </c>
      <c r="G35" s="14">
        <f t="shared" ref="G35" si="33">G32-G33-G34</f>
        <v>0</v>
      </c>
      <c r="H35" s="3">
        <f t="shared" si="28"/>
        <v>174</v>
      </c>
      <c r="I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</row>
    <row r="37" spans="1:13" ht="28.8">
      <c r="A37" s="10" t="s">
        <v>8</v>
      </c>
      <c r="B37" s="10">
        <v>45</v>
      </c>
      <c r="C37" s="10">
        <v>44</v>
      </c>
      <c r="D37" s="10">
        <v>43</v>
      </c>
      <c r="E37" s="10">
        <v>42</v>
      </c>
      <c r="F37" s="10">
        <v>41</v>
      </c>
      <c r="G37" s="11">
        <v>40</v>
      </c>
      <c r="H37" s="3"/>
      <c r="I37" s="9" t="s">
        <v>3</v>
      </c>
      <c r="J37" s="2"/>
      <c r="K37" s="2"/>
      <c r="L37" s="2"/>
      <c r="M37" s="2"/>
    </row>
    <row r="38" spans="1:13">
      <c r="A38" s="15">
        <v>8614106</v>
      </c>
      <c r="B38" s="13">
        <f>68+2</f>
        <v>70</v>
      </c>
      <c r="C38" s="13">
        <v>110</v>
      </c>
      <c r="D38" s="13">
        <f>153+1</f>
        <v>154</v>
      </c>
      <c r="E38" s="13">
        <v>155</v>
      </c>
      <c r="F38" s="13">
        <f>84+1</f>
        <v>85</v>
      </c>
      <c r="G38" s="14">
        <v>25</v>
      </c>
      <c r="H38" s="6">
        <f>SUM(B38:G38)</f>
        <v>599</v>
      </c>
      <c r="I38" s="1"/>
    </row>
    <row r="39" spans="1:13">
      <c r="A39" s="12" t="s">
        <v>6</v>
      </c>
      <c r="B39" s="13"/>
      <c r="C39" s="13">
        <v>25</v>
      </c>
      <c r="D39" s="13">
        <v>25</v>
      </c>
      <c r="E39" s="13">
        <v>25</v>
      </c>
      <c r="F39" s="13">
        <v>25</v>
      </c>
      <c r="G39" s="14">
        <v>25</v>
      </c>
      <c r="H39" s="3">
        <f t="shared" ref="H39:H41" si="34">SUM(B39:G39)</f>
        <v>125</v>
      </c>
      <c r="I39" s="4">
        <v>25</v>
      </c>
    </row>
    <row r="40" spans="1:13">
      <c r="A40" s="12" t="s">
        <v>7</v>
      </c>
      <c r="B40" s="13">
        <v>60</v>
      </c>
      <c r="C40" s="13">
        <v>60</v>
      </c>
      <c r="D40" s="13">
        <v>60</v>
      </c>
      <c r="E40" s="13">
        <v>60</v>
      </c>
      <c r="F40" s="13">
        <v>60</v>
      </c>
      <c r="G40" s="14"/>
      <c r="H40" s="3">
        <f t="shared" si="34"/>
        <v>300</v>
      </c>
      <c r="I40" s="5">
        <v>60</v>
      </c>
    </row>
    <row r="41" spans="1:13">
      <c r="A41" s="12" t="s">
        <v>0</v>
      </c>
      <c r="B41" s="13">
        <f>B38-B39-B40</f>
        <v>10</v>
      </c>
      <c r="C41" s="13">
        <f t="shared" ref="C41" si="35">C38-C39-C40</f>
        <v>25</v>
      </c>
      <c r="D41" s="13">
        <f t="shared" ref="D41" si="36">D38-D39-D40</f>
        <v>69</v>
      </c>
      <c r="E41" s="13">
        <f t="shared" ref="E41" si="37">E38-E39-E40</f>
        <v>70</v>
      </c>
      <c r="F41" s="13">
        <f t="shared" ref="F41" si="38">F38-F39-F40</f>
        <v>0</v>
      </c>
      <c r="G41" s="14">
        <f t="shared" ref="G41" si="39">G38-G39-G40</f>
        <v>0</v>
      </c>
      <c r="H41" s="3">
        <f t="shared" si="34"/>
        <v>174</v>
      </c>
      <c r="I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</row>
    <row r="43" spans="1:13" ht="28.8">
      <c r="A43" s="10" t="s">
        <v>8</v>
      </c>
      <c r="B43" s="10">
        <v>45</v>
      </c>
      <c r="C43" s="10">
        <v>44</v>
      </c>
      <c r="D43" s="10">
        <v>43</v>
      </c>
      <c r="E43" s="10">
        <v>42</v>
      </c>
      <c r="F43" s="10">
        <v>41</v>
      </c>
      <c r="G43" s="11">
        <v>40</v>
      </c>
      <c r="H43" s="3"/>
      <c r="I43" s="9" t="s">
        <v>3</v>
      </c>
      <c r="J43" s="2"/>
      <c r="K43" s="2"/>
      <c r="L43" s="2"/>
      <c r="M43" s="2"/>
    </row>
    <row r="44" spans="1:13">
      <c r="A44" s="15">
        <v>8614100</v>
      </c>
      <c r="B44" s="13">
        <f>69+1</f>
        <v>70</v>
      </c>
      <c r="C44" s="13">
        <f>108+1</f>
        <v>109</v>
      </c>
      <c r="D44" s="13">
        <v>154</v>
      </c>
      <c r="E44" s="13">
        <f>147+7</f>
        <v>154</v>
      </c>
      <c r="F44" s="13">
        <f>80+4</f>
        <v>84</v>
      </c>
      <c r="G44" s="14">
        <v>24</v>
      </c>
      <c r="H44" s="6">
        <f>SUM(B44:G44)</f>
        <v>595</v>
      </c>
      <c r="I44" s="1"/>
    </row>
    <row r="45" spans="1:13">
      <c r="A45" s="12" t="s">
        <v>6</v>
      </c>
      <c r="B45" s="13"/>
      <c r="C45" s="13">
        <v>15</v>
      </c>
      <c r="D45" s="13">
        <v>15</v>
      </c>
      <c r="E45" s="13">
        <v>15</v>
      </c>
      <c r="F45" s="13">
        <v>15</v>
      </c>
      <c r="G45" s="14">
        <v>15</v>
      </c>
      <c r="H45" s="3">
        <f t="shared" ref="H45:H47" si="40">SUM(B45:G45)</f>
        <v>75</v>
      </c>
      <c r="I45" s="4">
        <v>15</v>
      </c>
    </row>
    <row r="46" spans="1:13">
      <c r="A46" s="12" t="s">
        <v>7</v>
      </c>
      <c r="B46" s="13">
        <v>69</v>
      </c>
      <c r="C46" s="13">
        <v>69</v>
      </c>
      <c r="D46" s="13">
        <v>69</v>
      </c>
      <c r="E46" s="13">
        <v>69</v>
      </c>
      <c r="F46" s="13">
        <v>69</v>
      </c>
      <c r="G46" s="14"/>
      <c r="H46" s="3">
        <f t="shared" si="40"/>
        <v>345</v>
      </c>
      <c r="I46" s="5">
        <v>69</v>
      </c>
    </row>
    <row r="47" spans="1:13">
      <c r="A47" s="12" t="s">
        <v>0</v>
      </c>
      <c r="B47" s="13">
        <f>B44-B45-B46</f>
        <v>1</v>
      </c>
      <c r="C47" s="13">
        <f t="shared" ref="C47" si="41">C44-C45-C46</f>
        <v>25</v>
      </c>
      <c r="D47" s="13">
        <f t="shared" ref="D47" si="42">D44-D45-D46</f>
        <v>70</v>
      </c>
      <c r="E47" s="13">
        <f t="shared" ref="E47" si="43">E44-E45-E46</f>
        <v>70</v>
      </c>
      <c r="F47" s="13">
        <f t="shared" ref="F47" si="44">F44-F45-F46</f>
        <v>0</v>
      </c>
      <c r="G47" s="14">
        <f t="shared" ref="G47" si="45">G44-G45-G46</f>
        <v>9</v>
      </c>
      <c r="H47" s="3">
        <f t="shared" si="40"/>
        <v>175</v>
      </c>
      <c r="I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</row>
    <row r="49" spans="1:13" ht="28.8">
      <c r="A49" s="10" t="s">
        <v>8</v>
      </c>
      <c r="B49" s="10">
        <v>45</v>
      </c>
      <c r="C49" s="10">
        <v>44</v>
      </c>
      <c r="D49" s="10">
        <v>43</v>
      </c>
      <c r="E49" s="10">
        <v>42</v>
      </c>
      <c r="F49" s="10">
        <v>41</v>
      </c>
      <c r="G49" s="11">
        <v>40</v>
      </c>
      <c r="H49" s="3"/>
      <c r="I49" s="9" t="s">
        <v>3</v>
      </c>
      <c r="J49" s="2"/>
      <c r="K49" s="2"/>
      <c r="L49" s="2"/>
      <c r="M49" s="2"/>
    </row>
    <row r="50" spans="1:13">
      <c r="A50" s="15">
        <v>8614155</v>
      </c>
      <c r="B50" s="13">
        <f>47+3</f>
        <v>50</v>
      </c>
      <c r="C50" s="13">
        <f>69+1</f>
        <v>70</v>
      </c>
      <c r="D50" s="13">
        <f>103+1</f>
        <v>104</v>
      </c>
      <c r="E50" s="13">
        <f>102+3</f>
        <v>105</v>
      </c>
      <c r="F50" s="13">
        <f>54+1</f>
        <v>55</v>
      </c>
      <c r="G50" s="14">
        <v>15</v>
      </c>
      <c r="H50" s="6">
        <f>SUM(B50:G50)</f>
        <v>399</v>
      </c>
      <c r="I50" s="1"/>
    </row>
    <row r="51" spans="1:13">
      <c r="A51" s="12" t="s">
        <v>6</v>
      </c>
      <c r="B51" s="13"/>
      <c r="C51" s="13">
        <v>15</v>
      </c>
      <c r="D51" s="13">
        <v>15</v>
      </c>
      <c r="E51" s="13">
        <v>15</v>
      </c>
      <c r="F51" s="13">
        <v>15</v>
      </c>
      <c r="G51" s="14">
        <v>15</v>
      </c>
      <c r="H51" s="3">
        <f t="shared" ref="H51:H53" si="46">SUM(B51:G51)</f>
        <v>75</v>
      </c>
      <c r="I51" s="4">
        <v>15</v>
      </c>
    </row>
    <row r="52" spans="1:13">
      <c r="A52" s="12" t="s">
        <v>7</v>
      </c>
      <c r="B52" s="13">
        <v>40</v>
      </c>
      <c r="C52" s="13">
        <v>40</v>
      </c>
      <c r="D52" s="13">
        <v>40</v>
      </c>
      <c r="E52" s="13">
        <v>40</v>
      </c>
      <c r="F52" s="13">
        <v>40</v>
      </c>
      <c r="G52" s="14"/>
      <c r="H52" s="3">
        <f t="shared" si="46"/>
        <v>200</v>
      </c>
      <c r="I52" s="5">
        <v>40</v>
      </c>
    </row>
    <row r="53" spans="1:13">
      <c r="A53" s="12" t="s">
        <v>0</v>
      </c>
      <c r="B53" s="13">
        <f>B50-B51-B52</f>
        <v>10</v>
      </c>
      <c r="C53" s="13">
        <f t="shared" ref="C53" si="47">C50-C51-C52</f>
        <v>15</v>
      </c>
      <c r="D53" s="13">
        <f t="shared" ref="D53" si="48">D50-D51-D52</f>
        <v>49</v>
      </c>
      <c r="E53" s="13">
        <f t="shared" ref="E53" si="49">E50-E51-E52</f>
        <v>50</v>
      </c>
      <c r="F53" s="13">
        <f t="shared" ref="F53" si="50">F50-F51-F52</f>
        <v>0</v>
      </c>
      <c r="G53" s="14">
        <f t="shared" ref="G53" si="51">G50-G51-G52</f>
        <v>0</v>
      </c>
      <c r="H53" s="3">
        <f t="shared" si="46"/>
        <v>124</v>
      </c>
      <c r="I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</row>
    <row r="55" spans="1:13" ht="28.8">
      <c r="A55" s="10" t="s">
        <v>8</v>
      </c>
      <c r="B55" s="10">
        <v>45</v>
      </c>
      <c r="C55" s="10">
        <v>44</v>
      </c>
      <c r="D55" s="10">
        <v>43</v>
      </c>
      <c r="E55" s="10">
        <v>42</v>
      </c>
      <c r="F55" s="10">
        <v>41</v>
      </c>
      <c r="G55" s="11">
        <v>40</v>
      </c>
      <c r="H55" s="3"/>
      <c r="I55" s="9" t="s">
        <v>3</v>
      </c>
      <c r="J55" s="2"/>
      <c r="K55" s="2"/>
      <c r="L55" s="2"/>
      <c r="M55" s="2"/>
    </row>
    <row r="56" spans="1:13">
      <c r="A56" s="15">
        <v>8614140</v>
      </c>
      <c r="B56" s="13">
        <v>50</v>
      </c>
      <c r="C56" s="13">
        <v>70</v>
      </c>
      <c r="D56" s="13">
        <v>104</v>
      </c>
      <c r="E56" s="13">
        <v>105</v>
      </c>
      <c r="F56" s="13">
        <v>55</v>
      </c>
      <c r="G56" s="14">
        <v>15</v>
      </c>
      <c r="H56" s="6">
        <f>SUM(B56:G56)</f>
        <v>399</v>
      </c>
      <c r="I56" s="1"/>
    </row>
    <row r="57" spans="1:13">
      <c r="A57" s="12" t="s">
        <v>6</v>
      </c>
      <c r="B57" s="13"/>
      <c r="C57" s="13">
        <v>15</v>
      </c>
      <c r="D57" s="13">
        <v>15</v>
      </c>
      <c r="E57" s="13">
        <v>15</v>
      </c>
      <c r="F57" s="13">
        <v>15</v>
      </c>
      <c r="G57" s="14">
        <v>15</v>
      </c>
      <c r="H57" s="3">
        <f t="shared" ref="H57:H59" si="52">SUM(B57:G57)</f>
        <v>75</v>
      </c>
      <c r="I57" s="4">
        <v>15</v>
      </c>
    </row>
    <row r="58" spans="1:13">
      <c r="A58" s="12" t="s">
        <v>7</v>
      </c>
      <c r="B58" s="13">
        <v>40</v>
      </c>
      <c r="C58" s="13">
        <v>40</v>
      </c>
      <c r="D58" s="13">
        <v>40</v>
      </c>
      <c r="E58" s="13">
        <v>40</v>
      </c>
      <c r="F58" s="13">
        <v>40</v>
      </c>
      <c r="G58" s="14"/>
      <c r="H58" s="3">
        <f t="shared" si="52"/>
        <v>200</v>
      </c>
      <c r="I58" s="5">
        <v>40</v>
      </c>
    </row>
    <row r="59" spans="1:13">
      <c r="A59" s="12" t="s">
        <v>0</v>
      </c>
      <c r="B59" s="13">
        <f>B56-B57-B58</f>
        <v>10</v>
      </c>
      <c r="C59" s="13">
        <f t="shared" ref="C59" si="53">C56-C57-C58</f>
        <v>15</v>
      </c>
      <c r="D59" s="13">
        <f t="shared" ref="D59" si="54">D56-D57-D58</f>
        <v>49</v>
      </c>
      <c r="E59" s="13">
        <f t="shared" ref="E59" si="55">E56-E57-E58</f>
        <v>50</v>
      </c>
      <c r="F59" s="13">
        <f t="shared" ref="F59" si="56">F56-F57-F58</f>
        <v>0</v>
      </c>
      <c r="G59" s="14">
        <f t="shared" ref="G59" si="57">G56-G57-G58</f>
        <v>0</v>
      </c>
      <c r="H59" s="3">
        <f t="shared" si="52"/>
        <v>124</v>
      </c>
      <c r="I59" s="1"/>
    </row>
    <row r="60" spans="1:13">
      <c r="A60" s="12"/>
      <c r="B60" s="13"/>
      <c r="C60" s="13"/>
      <c r="D60" s="13"/>
      <c r="E60" s="13"/>
      <c r="F60" s="13"/>
      <c r="G60" s="14"/>
      <c r="H60" s="3"/>
      <c r="I60" s="1"/>
    </row>
    <row r="62" spans="1:13">
      <c r="G62" s="7" t="s">
        <v>2</v>
      </c>
      <c r="H62" s="8">
        <f>H2+H8+H14+H20+H26+H32+H38+H44+H50+H56</f>
        <v>4381</v>
      </c>
    </row>
    <row r="63" spans="1:13">
      <c r="G63" s="7" t="s">
        <v>1</v>
      </c>
      <c r="H63" s="8">
        <f>H3+H9+H15+H21+H27+H33+H39+H45+H51+H57+H4+H10+H16+H22+H28+H34+H40+H46+H52+H58</f>
        <v>2960</v>
      </c>
    </row>
    <row r="64" spans="1:13">
      <c r="G64" s="7" t="s">
        <v>0</v>
      </c>
      <c r="H64" s="8">
        <f>H5+H11+H17+H23+H29+H35+H41+H47+H53+H59</f>
        <v>1421</v>
      </c>
    </row>
  </sheetData>
  <pageMargins left="0.70866141732283472" right="0.70866141732283472" top="0.74803149606299213" bottom="0.74803149606299213" header="0.31496062992125984" footer="0.31496062992125984"/>
  <pageSetup paperSize="9" scale="95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Вальтер Анна Николаевна</dc:creator>
  <cp:lastModifiedBy>Вальтер Анна Николаевна</cp:lastModifiedBy>
  <cp:lastPrinted>2025-12-16T10:13:37Z</cp:lastPrinted>
  <dcterms:created xsi:type="dcterms:W3CDTF">2025-12-16T08:52:09Z</dcterms:created>
  <dcterms:modified xsi:type="dcterms:W3CDTF">2025-12-18T06:17:19Z</dcterms:modified>
</cp:coreProperties>
</file>